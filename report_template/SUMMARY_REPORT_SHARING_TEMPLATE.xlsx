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T-LAPTOP\OneDrive\Desktop\ESRE_REPORT\report_template\"/>
    </mc:Choice>
  </mc:AlternateContent>
  <xr:revisionPtr revIDLastSave="0" documentId="13_ncr:1_{114ECE66-C188-4A9C-9692-AB77D6C75186}" xr6:coauthVersionLast="47" xr6:coauthVersionMax="47" xr10:uidLastSave="{00000000-0000-0000-0000-000000000000}"/>
  <bookViews>
    <workbookView xWindow="-110" yWindow="-110" windowWidth="19420" windowHeight="11020" xr2:uid="{32D8F938-AEEA-443F-966E-AA9A16408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8" i="1" l="1"/>
  <c r="K48" i="1"/>
  <c r="L47" i="1"/>
  <c r="K47" i="1"/>
  <c r="L46" i="1"/>
  <c r="K46" i="1"/>
  <c r="K49" i="1" s="1"/>
  <c r="J48" i="1"/>
  <c r="J47" i="1"/>
  <c r="J46" i="1"/>
  <c r="L38" i="1"/>
  <c r="K38" i="1"/>
  <c r="L37" i="1"/>
  <c r="K37" i="1"/>
  <c r="L36" i="1"/>
  <c r="K36" i="1"/>
  <c r="L49" i="1"/>
  <c r="K39" i="1"/>
  <c r="J39" i="1"/>
  <c r="J38" i="1"/>
  <c r="J37" i="1"/>
  <c r="J36" i="1"/>
  <c r="F48" i="1"/>
  <c r="F47" i="1"/>
  <c r="F46" i="1"/>
  <c r="D48" i="1"/>
  <c r="E46" i="1"/>
  <c r="E48" i="1"/>
  <c r="E47" i="1"/>
  <c r="D47" i="1"/>
  <c r="D49" i="1" s="1"/>
  <c r="D46" i="1"/>
  <c r="C48" i="1"/>
  <c r="C47" i="1"/>
  <c r="C46" i="1"/>
  <c r="C49" i="1"/>
  <c r="C41" i="1"/>
  <c r="D39" i="1"/>
  <c r="E39" i="1"/>
  <c r="F39" i="1"/>
  <c r="C39" i="1"/>
  <c r="E38" i="1"/>
  <c r="F38" i="1"/>
  <c r="D38" i="1"/>
  <c r="C38" i="1"/>
  <c r="F37" i="1"/>
  <c r="E37" i="1"/>
  <c r="D37" i="1"/>
  <c r="C37" i="1"/>
  <c r="F36" i="1"/>
  <c r="E36" i="1"/>
  <c r="D36" i="1"/>
  <c r="C36" i="1"/>
  <c r="J29" i="1"/>
  <c r="J17" i="1"/>
  <c r="K27" i="1"/>
  <c r="L27" i="1"/>
  <c r="M27" i="1"/>
  <c r="N27" i="1"/>
  <c r="J27" i="1"/>
  <c r="K15" i="1"/>
  <c r="L15" i="1"/>
  <c r="M15" i="1"/>
  <c r="N15" i="1"/>
  <c r="J15" i="1"/>
  <c r="C29" i="1"/>
  <c r="D27" i="1"/>
  <c r="E27" i="1"/>
  <c r="F27" i="1"/>
  <c r="G27" i="1"/>
  <c r="C27" i="1"/>
  <c r="C17" i="1"/>
  <c r="D15" i="1"/>
  <c r="E15" i="1"/>
  <c r="F15" i="1"/>
  <c r="G15" i="1"/>
  <c r="C15" i="1"/>
  <c r="J51" i="1" l="1"/>
  <c r="J49" i="1"/>
  <c r="L39" i="1"/>
  <c r="J41" i="1"/>
  <c r="F49" i="1"/>
  <c r="E49" i="1"/>
  <c r="C51" i="1" s="1"/>
</calcChain>
</file>

<file path=xl/sharedStrings.xml><?xml version="1.0" encoding="utf-8"?>
<sst xmlns="http://schemas.openxmlformats.org/spreadsheetml/2006/main" count="194" uniqueCount="39">
  <si>
    <t>LAND</t>
  </si>
  <si>
    <t>CURRENT</t>
  </si>
  <si>
    <t>DISCOUNT</t>
  </si>
  <si>
    <t>PRIOR</t>
  </si>
  <si>
    <t>SPECIAL</t>
  </si>
  <si>
    <t>TOTAL</t>
  </si>
  <si>
    <t>MACHINERIES</t>
  </si>
  <si>
    <t>BLDG-INDUS</t>
  </si>
  <si>
    <t>SEF</t>
  </si>
  <si>
    <t>50% Prov’l Share</t>
  </si>
  <si>
    <t>50% Mun. Share</t>
  </si>
  <si>
    <t>AGRICULTURE</t>
  </si>
  <si>
    <t>RESIDENTIAL</t>
  </si>
  <si>
    <t>COMMERCIAL</t>
  </si>
  <si>
    <t>Penalties</t>
  </si>
  <si>
    <t>BUILDING</t>
  </si>
  <si>
    <t>BLDG-AGRICULTURE</t>
  </si>
  <si>
    <t>BLDG-COMMERCIAL</t>
  </si>
  <si>
    <t>BLDG-RESIDENTIAL</t>
  </si>
  <si>
    <t>LAND TOTAL</t>
  </si>
  <si>
    <t>BUILDING TOTAL</t>
  </si>
  <si>
    <t>BSC</t>
  </si>
  <si>
    <t>BSC - SHARING</t>
  </si>
  <si>
    <t>SEF - SHARING</t>
  </si>
  <si>
    <t>Category</t>
  </si>
  <si>
    <t>Current</t>
  </si>
  <si>
    <t>Prior</t>
  </si>
  <si>
    <t>35% PROV'L SHARE</t>
  </si>
  <si>
    <t>40% MUN. SHARE</t>
  </si>
  <si>
    <t>25% BRGY. SHARE</t>
  </si>
  <si>
    <t>LAND SHARING</t>
  </si>
  <si>
    <t>BUILDING SHARING</t>
  </si>
  <si>
    <t>LAND SHARING TOTAL</t>
  </si>
  <si>
    <t>BUILDING SHARING TOTAL</t>
  </si>
  <si>
    <t>SUMMARY REPORT SHARING</t>
  </si>
  <si>
    <t>RESULT</t>
  </si>
  <si>
    <t>MONTH:</t>
  </si>
  <si>
    <t>DAY:</t>
  </si>
  <si>
    <t>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</si>
</sst>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2" borderId="0" xfId="0" applyFill="1"/>
    <xf numFmtId="0" fontId="0" fillId="2" borderId="9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19" xfId="0" applyBorder="1"/>
    <xf numFmtId="0" fontId="0" fillId="0" borderId="20" xfId="0" applyBorder="1"/>
    <xf numFmtId="0" fontId="0" fillId="3" borderId="9" xfId="0" applyFill="1" applyBorder="1"/>
    <xf numFmtId="0" fontId="0" fillId="3" borderId="19" xfId="0" applyFill="1" applyBorder="1"/>
    <xf numFmtId="0" fontId="0" fillId="3" borderId="0" xfId="0" applyFill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3" fillId="0" borderId="0" xfId="0" applyFont="1" applyAlignment="1">
      <alignment horizontal="center" vertical="center"/>
    </xf>
    <xf numFmtId="0" fontId="1" fillId="6" borderId="9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0" fillId="6" borderId="9" xfId="0" applyFill="1" applyBorder="1"/>
    <xf numFmtId="0" fontId="0" fillId="6" borderId="11" xfId="0" applyFill="1" applyBorder="1"/>
    <xf numFmtId="0" fontId="0" fillId="6" borderId="19" xfId="0" applyFill="1" applyBorder="1"/>
    <xf numFmtId="0" fontId="0" fillId="6" borderId="0" xfId="0" applyFill="1"/>
    <xf numFmtId="0" fontId="0" fillId="6" borderId="20" xfId="0" applyFill="1" applyBorder="1"/>
    <xf numFmtId="0" fontId="0" fillId="6" borderId="23" xfId="0" applyFill="1" applyBorder="1"/>
    <xf numFmtId="0" fontId="0" fillId="6" borderId="21" xfId="0" applyFill="1" applyBorder="1"/>
    <xf numFmtId="0" fontId="0" fillId="6" borderId="22" xfId="0" applyFill="1" applyBorder="1"/>
    <xf numFmtId="0" fontId="1" fillId="7" borderId="9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/>
    <xf numFmtId="0" fontId="0" fillId="7" borderId="11" xfId="0" applyFill="1" applyBorder="1"/>
    <xf numFmtId="0" fontId="0" fillId="7" borderId="19" xfId="0" applyFill="1" applyBorder="1"/>
    <xf numFmtId="0" fontId="0" fillId="7" borderId="0" xfId="0" applyFill="1"/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1" fillId="0" borderId="0" xfId="0" applyFont="1"/>
    <xf numFmtId="0" fontId="1" fillId="8" borderId="9" xfId="0" applyFont="1" applyFill="1" applyBorder="1"/>
    <xf numFmtId="0" fontId="0" fillId="8" borderId="9" xfId="0" applyFill="1" applyBorder="1"/>
    <xf numFmtId="0" fontId="0" fillId="8" borderId="19" xfId="0" applyFill="1" applyBorder="1"/>
    <xf numFmtId="0" fontId="0" fillId="8" borderId="0" xfId="0" applyFill="1"/>
    <xf numFmtId="0" fontId="0" fillId="8" borderId="20" xfId="0" applyFill="1" applyBorder="1"/>
    <xf numFmtId="0" fontId="0" fillId="8" borderId="11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1" fillId="9" borderId="9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0" fillId="9" borderId="9" xfId="0" applyFill="1" applyBorder="1"/>
    <xf numFmtId="0" fontId="0" fillId="9" borderId="19" xfId="0" applyFill="1" applyBorder="1"/>
    <xf numFmtId="0" fontId="0" fillId="9" borderId="0" xfId="0" applyFill="1"/>
    <xf numFmtId="0" fontId="0" fillId="9" borderId="20" xfId="0" applyFill="1" applyBorder="1"/>
    <xf numFmtId="0" fontId="0" fillId="9" borderId="11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10" borderId="9" xfId="0" applyFill="1" applyBorder="1"/>
    <xf numFmtId="0" fontId="0" fillId="10" borderId="19" xfId="0" applyFill="1" applyBorder="1"/>
    <xf numFmtId="0" fontId="0" fillId="10" borderId="0" xfId="0" applyFill="1"/>
    <xf numFmtId="0" fontId="0" fillId="10" borderId="20" xfId="0" applyFill="1" applyBorder="1"/>
    <xf numFmtId="0" fontId="0" fillId="10" borderId="21" xfId="0" applyFill="1" applyBorder="1"/>
    <xf numFmtId="0" fontId="0" fillId="10" borderId="22" xfId="0" applyFill="1" applyBorder="1"/>
    <xf numFmtId="0" fontId="0" fillId="10" borderId="23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7" borderId="13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9" borderId="24" xfId="0" applyFont="1" applyFill="1" applyBorder="1" applyAlignment="1">
      <alignment horizontal="center"/>
    </xf>
    <xf numFmtId="0" fontId="1" fillId="9" borderId="25" xfId="0" applyFont="1" applyFill="1" applyBorder="1" applyAlignment="1">
      <alignment horizontal="center"/>
    </xf>
    <xf numFmtId="0" fontId="1" fillId="9" borderId="26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10" borderId="14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3F28-0B3C-4165-9C4C-52BE4D7504FC}">
  <dimension ref="A1:AD52"/>
  <sheetViews>
    <sheetView tabSelected="1" topLeftCell="C1" workbookViewId="0">
      <selection activeCell="C3" sqref="C3"/>
    </sheetView>
  </sheetViews>
  <sheetFormatPr defaultRowHeight="14.5" x14ac:dyDescent="0.35"/>
  <cols>
    <col min="2" max="2" width="24.26953125" bestFit="1" customWidth="1"/>
    <col min="3" max="3" width="9.26953125" bestFit="1" customWidth="1"/>
    <col min="4" max="4" width="17.7265625" bestFit="1" customWidth="1"/>
    <col min="5" max="5" width="16.26953125" bestFit="1" customWidth="1"/>
    <col min="6" max="6" width="16.7265625" bestFit="1" customWidth="1"/>
    <col min="9" max="9" width="20.54296875" bestFit="1" customWidth="1"/>
    <col min="10" max="10" width="9.26953125" bestFit="1" customWidth="1"/>
    <col min="11" max="11" width="15.7265625" bestFit="1" customWidth="1"/>
    <col min="12" max="12" width="15.1796875" bestFit="1" customWidth="1"/>
    <col min="13" max="13" width="9.26953125" bestFit="1" customWidth="1"/>
    <col min="14" max="14" width="10.1796875" customWidth="1"/>
  </cols>
  <sheetData>
    <row r="1" spans="1:30" x14ac:dyDescent="0.35">
      <c r="B1" s="107" t="s">
        <v>34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30" x14ac:dyDescent="0.35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30" ht="16.5" customHeight="1" x14ac:dyDescent="0.35">
      <c r="A3" s="147"/>
      <c r="B3" s="148"/>
      <c r="C3" s="148"/>
      <c r="D3" s="148"/>
      <c r="E3" s="92" t="s">
        <v>36</v>
      </c>
      <c r="F3" s="146"/>
      <c r="G3" s="148"/>
      <c r="H3" s="148"/>
      <c r="I3" s="148"/>
      <c r="J3" s="148"/>
      <c r="K3" s="148"/>
      <c r="L3" s="148"/>
      <c r="M3" s="148"/>
      <c r="N3" s="148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</row>
    <row r="4" spans="1:30" ht="16.5" customHeight="1" x14ac:dyDescent="0.35">
      <c r="A4" s="147"/>
      <c r="B4" s="148"/>
      <c r="C4" s="148"/>
      <c r="D4" s="148"/>
      <c r="E4" s="92" t="s">
        <v>37</v>
      </c>
      <c r="F4" s="146"/>
      <c r="G4" s="148"/>
      <c r="H4" s="148"/>
      <c r="I4" s="148"/>
      <c r="J4" s="148"/>
      <c r="K4" s="148"/>
      <c r="L4" s="148"/>
      <c r="M4" s="148"/>
      <c r="N4" s="148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</row>
    <row r="5" spans="1:30" ht="18" customHeight="1" x14ac:dyDescent="0.35">
      <c r="A5" s="147"/>
      <c r="B5" s="148"/>
      <c r="C5" s="148"/>
      <c r="D5" s="148"/>
      <c r="E5" s="92" t="s">
        <v>38</v>
      </c>
      <c r="F5" s="146"/>
      <c r="G5" s="148"/>
      <c r="H5" s="148"/>
      <c r="I5" s="148"/>
      <c r="J5" s="148"/>
      <c r="K5" s="148"/>
      <c r="L5" s="148"/>
      <c r="M5" s="148"/>
      <c r="N5" s="148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</row>
    <row r="6" spans="1:30" ht="17.25" customHeight="1" thickBot="1" x14ac:dyDescent="0.4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30" ht="15" customHeight="1" thickBot="1" x14ac:dyDescent="0.4">
      <c r="B7" s="136" t="s">
        <v>21</v>
      </c>
      <c r="C7" s="137"/>
      <c r="D7" s="137"/>
      <c r="E7" s="137"/>
      <c r="F7" s="137"/>
      <c r="G7" s="138"/>
      <c r="I7" s="113" t="s">
        <v>8</v>
      </c>
      <c r="J7" s="114"/>
      <c r="K7" s="114"/>
      <c r="L7" s="114"/>
      <c r="M7" s="114"/>
      <c r="N7" s="115"/>
    </row>
    <row r="8" spans="1:30" ht="15" thickBot="1" x14ac:dyDescent="0.4">
      <c r="B8" s="8"/>
      <c r="G8" s="9"/>
    </row>
    <row r="9" spans="1:30" x14ac:dyDescent="0.35">
      <c r="B9" s="131" t="s">
        <v>0</v>
      </c>
      <c r="C9" s="133"/>
      <c r="D9" s="134"/>
      <c r="E9" s="135"/>
      <c r="F9" s="140" t="s">
        <v>14</v>
      </c>
      <c r="G9" s="141"/>
      <c r="I9" s="116" t="s">
        <v>0</v>
      </c>
      <c r="J9" s="118"/>
      <c r="K9" s="119"/>
      <c r="L9" s="120"/>
      <c r="M9" s="121" t="s">
        <v>14</v>
      </c>
      <c r="N9" s="122"/>
    </row>
    <row r="10" spans="1:30" x14ac:dyDescent="0.35">
      <c r="B10" s="132"/>
      <c r="C10" s="67" t="s">
        <v>1</v>
      </c>
      <c r="D10" s="67" t="s">
        <v>2</v>
      </c>
      <c r="E10" s="67" t="s">
        <v>3</v>
      </c>
      <c r="F10" s="67" t="s">
        <v>1</v>
      </c>
      <c r="G10" s="68" t="s">
        <v>3</v>
      </c>
      <c r="I10" s="117"/>
      <c r="J10" s="69" t="s">
        <v>1</v>
      </c>
      <c r="K10" s="69" t="s">
        <v>2</v>
      </c>
      <c r="L10" s="69" t="s">
        <v>3</v>
      </c>
      <c r="M10" s="69" t="s">
        <v>1</v>
      </c>
      <c r="N10" s="70" t="s">
        <v>3</v>
      </c>
    </row>
    <row r="11" spans="1:30" x14ac:dyDescent="0.35">
      <c r="B11" s="2" t="s">
        <v>11</v>
      </c>
      <c r="C11" s="76" t="s">
        <v>35</v>
      </c>
      <c r="D11" s="76" t="s">
        <v>35</v>
      </c>
      <c r="E11" s="76" t="s">
        <v>35</v>
      </c>
      <c r="F11" s="76" t="s">
        <v>35</v>
      </c>
      <c r="G11" s="76" t="s">
        <v>35</v>
      </c>
      <c r="I11" s="10" t="s">
        <v>11</v>
      </c>
      <c r="J11" s="77" t="s">
        <v>35</v>
      </c>
      <c r="K11" s="77" t="s">
        <v>35</v>
      </c>
      <c r="L11" s="77" t="s">
        <v>35</v>
      </c>
      <c r="M11" s="77" t="s">
        <v>35</v>
      </c>
      <c r="N11" s="88" t="s">
        <v>35</v>
      </c>
    </row>
    <row r="12" spans="1:30" x14ac:dyDescent="0.35">
      <c r="B12" s="2" t="s">
        <v>12</v>
      </c>
      <c r="C12" s="76" t="s">
        <v>35</v>
      </c>
      <c r="D12" s="76" t="s">
        <v>35</v>
      </c>
      <c r="E12" s="76" t="s">
        <v>35</v>
      </c>
      <c r="F12" s="76" t="s">
        <v>35</v>
      </c>
      <c r="G12" s="76" t="s">
        <v>35</v>
      </c>
      <c r="I12" s="10" t="s">
        <v>12</v>
      </c>
      <c r="J12" s="77" t="s">
        <v>35</v>
      </c>
      <c r="K12" s="77" t="s">
        <v>35</v>
      </c>
      <c r="L12" s="77" t="s">
        <v>35</v>
      </c>
      <c r="M12" s="77" t="s">
        <v>35</v>
      </c>
      <c r="N12" s="88" t="s">
        <v>35</v>
      </c>
    </row>
    <row r="13" spans="1:30" x14ac:dyDescent="0.35">
      <c r="B13" s="2" t="s">
        <v>13</v>
      </c>
      <c r="C13" s="76" t="s">
        <v>35</v>
      </c>
      <c r="D13" s="76" t="s">
        <v>35</v>
      </c>
      <c r="E13" s="76" t="s">
        <v>35</v>
      </c>
      <c r="F13" s="76" t="s">
        <v>35</v>
      </c>
      <c r="G13" s="76" t="s">
        <v>35</v>
      </c>
      <c r="I13" s="10" t="s">
        <v>13</v>
      </c>
      <c r="J13" s="77" t="s">
        <v>35</v>
      </c>
      <c r="K13" s="77" t="s">
        <v>35</v>
      </c>
      <c r="L13" s="77" t="s">
        <v>35</v>
      </c>
      <c r="M13" s="77" t="s">
        <v>35</v>
      </c>
      <c r="N13" s="88" t="s">
        <v>35</v>
      </c>
    </row>
    <row r="14" spans="1:30" x14ac:dyDescent="0.35">
      <c r="B14" s="2" t="s">
        <v>4</v>
      </c>
      <c r="C14" s="76" t="s">
        <v>35</v>
      </c>
      <c r="D14" s="76" t="s">
        <v>35</v>
      </c>
      <c r="E14" s="76" t="s">
        <v>35</v>
      </c>
      <c r="F14" s="76" t="s">
        <v>35</v>
      </c>
      <c r="G14" s="76" t="s">
        <v>35</v>
      </c>
      <c r="I14" s="10" t="s">
        <v>4</v>
      </c>
      <c r="J14" s="77" t="s">
        <v>35</v>
      </c>
      <c r="K14" s="77" t="s">
        <v>35</v>
      </c>
      <c r="L14" s="77" t="s">
        <v>35</v>
      </c>
      <c r="M14" s="77" t="s">
        <v>35</v>
      </c>
      <c r="N14" s="88" t="s">
        <v>35</v>
      </c>
    </row>
    <row r="15" spans="1:30" x14ac:dyDescent="0.35">
      <c r="B15" s="2" t="s">
        <v>5</v>
      </c>
      <c r="C15" s="76">
        <f>SUM(C11:C14)</f>
        <v>0</v>
      </c>
      <c r="D15" s="76">
        <f t="shared" ref="D15:G15" si="0">SUM(D11:D14)</f>
        <v>0</v>
      </c>
      <c r="E15" s="76">
        <f t="shared" si="0"/>
        <v>0</v>
      </c>
      <c r="F15" s="76">
        <f t="shared" si="0"/>
        <v>0</v>
      </c>
      <c r="G15" s="76">
        <f t="shared" si="0"/>
        <v>0</v>
      </c>
      <c r="I15" s="10" t="s">
        <v>5</v>
      </c>
      <c r="J15" s="77">
        <f>SUM(J11:J14)</f>
        <v>0</v>
      </c>
      <c r="K15" s="77">
        <f t="shared" ref="K15:N15" si="1">SUM(K11:K14)</f>
        <v>0</v>
      </c>
      <c r="L15" s="77">
        <f t="shared" si="1"/>
        <v>0</v>
      </c>
      <c r="M15" s="77">
        <f t="shared" si="1"/>
        <v>0</v>
      </c>
      <c r="N15" s="88">
        <f t="shared" si="1"/>
        <v>0</v>
      </c>
    </row>
    <row r="16" spans="1:30" x14ac:dyDescent="0.35">
      <c r="B16" s="3"/>
      <c r="C16" s="1"/>
      <c r="D16" s="1"/>
      <c r="E16" s="1"/>
      <c r="F16" s="1"/>
      <c r="G16" s="4"/>
      <c r="I16" s="11"/>
      <c r="J16" s="12"/>
      <c r="K16" s="12"/>
      <c r="L16" s="12"/>
      <c r="M16" s="12"/>
      <c r="N16" s="13"/>
    </row>
    <row r="17" spans="2:14" x14ac:dyDescent="0.35">
      <c r="B17" s="2" t="s">
        <v>19</v>
      </c>
      <c r="C17" s="139">
        <f>C15+E15+F15+G15-D15</f>
        <v>0</v>
      </c>
      <c r="D17" s="139"/>
      <c r="E17" s="139"/>
      <c r="F17" s="1"/>
      <c r="G17" s="4"/>
      <c r="I17" s="10" t="s">
        <v>19</v>
      </c>
      <c r="J17" s="123">
        <f>J15+L15+M15+N15-K15</f>
        <v>0</v>
      </c>
      <c r="K17" s="123"/>
      <c r="L17" s="123"/>
      <c r="M17" s="12"/>
      <c r="N17" s="13"/>
    </row>
    <row r="18" spans="2:14" ht="15" thickBot="1" x14ac:dyDescent="0.4">
      <c r="B18" s="5"/>
      <c r="C18" s="6"/>
      <c r="D18" s="6"/>
      <c r="E18" s="6"/>
      <c r="F18" s="6"/>
      <c r="G18" s="7"/>
      <c r="I18" s="14"/>
      <c r="J18" s="15"/>
      <c r="K18" s="15"/>
      <c r="L18" s="15"/>
      <c r="M18" s="15"/>
      <c r="N18" s="16"/>
    </row>
    <row r="19" spans="2:14" ht="15" thickBot="1" x14ac:dyDescent="0.4">
      <c r="B19" s="99"/>
      <c r="C19" s="100"/>
      <c r="D19" s="100"/>
      <c r="E19" s="100"/>
      <c r="F19" s="100"/>
      <c r="G19" s="101"/>
    </row>
    <row r="20" spans="2:14" x14ac:dyDescent="0.35">
      <c r="B20" s="116" t="s">
        <v>15</v>
      </c>
      <c r="C20" s="118"/>
      <c r="D20" s="119"/>
      <c r="E20" s="120"/>
      <c r="F20" s="121" t="s">
        <v>14</v>
      </c>
      <c r="G20" s="122"/>
      <c r="I20" s="124" t="s">
        <v>15</v>
      </c>
      <c r="J20" s="126"/>
      <c r="K20" s="127"/>
      <c r="L20" s="128"/>
      <c r="M20" s="129" t="s">
        <v>14</v>
      </c>
      <c r="N20" s="130"/>
    </row>
    <row r="21" spans="2:14" x14ac:dyDescent="0.35">
      <c r="B21" s="117"/>
      <c r="C21" s="69" t="s">
        <v>1</v>
      </c>
      <c r="D21" s="69" t="s">
        <v>2</v>
      </c>
      <c r="E21" s="69" t="s">
        <v>3</v>
      </c>
      <c r="F21" s="69" t="s">
        <v>1</v>
      </c>
      <c r="G21" s="70" t="s">
        <v>3</v>
      </c>
      <c r="I21" s="125"/>
      <c r="J21" s="71" t="s">
        <v>1</v>
      </c>
      <c r="K21" s="71" t="s">
        <v>2</v>
      </c>
      <c r="L21" s="71" t="s">
        <v>3</v>
      </c>
      <c r="M21" s="71" t="s">
        <v>1</v>
      </c>
      <c r="N21" s="72" t="s">
        <v>3</v>
      </c>
    </row>
    <row r="22" spans="2:14" x14ac:dyDescent="0.35">
      <c r="B22" s="10" t="s">
        <v>6</v>
      </c>
      <c r="C22" s="77" t="s">
        <v>35</v>
      </c>
      <c r="D22" s="77" t="s">
        <v>35</v>
      </c>
      <c r="E22" s="77" t="s">
        <v>35</v>
      </c>
      <c r="F22" s="77" t="s">
        <v>35</v>
      </c>
      <c r="G22" s="88" t="s">
        <v>35</v>
      </c>
      <c r="I22" s="60" t="s">
        <v>6</v>
      </c>
      <c r="J22" s="78" t="s">
        <v>35</v>
      </c>
      <c r="K22" s="78" t="s">
        <v>35</v>
      </c>
      <c r="L22" s="78" t="s">
        <v>35</v>
      </c>
      <c r="M22" s="78" t="s">
        <v>35</v>
      </c>
      <c r="N22" s="89" t="s">
        <v>35</v>
      </c>
    </row>
    <row r="23" spans="2:14" x14ac:dyDescent="0.35">
      <c r="B23" s="10" t="s">
        <v>18</v>
      </c>
      <c r="C23" s="77" t="s">
        <v>35</v>
      </c>
      <c r="D23" s="77" t="s">
        <v>35</v>
      </c>
      <c r="E23" s="77" t="s">
        <v>35</v>
      </c>
      <c r="F23" s="77" t="s">
        <v>35</v>
      </c>
      <c r="G23" s="88" t="s">
        <v>35</v>
      </c>
      <c r="I23" s="60" t="s">
        <v>18</v>
      </c>
      <c r="J23" s="78" t="s">
        <v>35</v>
      </c>
      <c r="K23" s="78" t="s">
        <v>35</v>
      </c>
      <c r="L23" s="78" t="s">
        <v>35</v>
      </c>
      <c r="M23" s="78" t="s">
        <v>35</v>
      </c>
      <c r="N23" s="89" t="s">
        <v>35</v>
      </c>
    </row>
    <row r="24" spans="2:14" x14ac:dyDescent="0.35">
      <c r="B24" s="10" t="s">
        <v>17</v>
      </c>
      <c r="C24" s="77" t="s">
        <v>35</v>
      </c>
      <c r="D24" s="77" t="s">
        <v>35</v>
      </c>
      <c r="E24" s="77" t="s">
        <v>35</v>
      </c>
      <c r="F24" s="77" t="s">
        <v>35</v>
      </c>
      <c r="G24" s="88" t="s">
        <v>35</v>
      </c>
      <c r="I24" s="60" t="s">
        <v>17</v>
      </c>
      <c r="J24" s="78" t="s">
        <v>35</v>
      </c>
      <c r="K24" s="78" t="s">
        <v>35</v>
      </c>
      <c r="L24" s="78" t="s">
        <v>35</v>
      </c>
      <c r="M24" s="78" t="s">
        <v>35</v>
      </c>
      <c r="N24" s="89" t="s">
        <v>35</v>
      </c>
    </row>
    <row r="25" spans="2:14" x14ac:dyDescent="0.35">
      <c r="B25" s="10" t="s">
        <v>16</v>
      </c>
      <c r="C25" s="77" t="s">
        <v>35</v>
      </c>
      <c r="D25" s="77" t="s">
        <v>35</v>
      </c>
      <c r="E25" s="77" t="s">
        <v>35</v>
      </c>
      <c r="F25" s="77" t="s">
        <v>35</v>
      </c>
      <c r="G25" s="88" t="s">
        <v>35</v>
      </c>
      <c r="I25" s="60" t="s">
        <v>16</v>
      </c>
      <c r="J25" s="78" t="s">
        <v>35</v>
      </c>
      <c r="K25" s="78" t="s">
        <v>35</v>
      </c>
      <c r="L25" s="78" t="s">
        <v>35</v>
      </c>
      <c r="M25" s="78" t="s">
        <v>35</v>
      </c>
      <c r="N25" s="89" t="s">
        <v>35</v>
      </c>
    </row>
    <row r="26" spans="2:14" x14ac:dyDescent="0.35">
      <c r="B26" s="10" t="s">
        <v>7</v>
      </c>
      <c r="C26" s="77" t="s">
        <v>35</v>
      </c>
      <c r="D26" s="77" t="s">
        <v>35</v>
      </c>
      <c r="E26" s="77" t="s">
        <v>35</v>
      </c>
      <c r="F26" s="77" t="s">
        <v>35</v>
      </c>
      <c r="G26" s="88" t="s">
        <v>35</v>
      </c>
      <c r="I26" s="60" t="s">
        <v>7</v>
      </c>
      <c r="J26" s="78" t="s">
        <v>35</v>
      </c>
      <c r="K26" s="78" t="s">
        <v>35</v>
      </c>
      <c r="L26" s="78" t="s">
        <v>35</v>
      </c>
      <c r="M26" s="78" t="s">
        <v>35</v>
      </c>
      <c r="N26" s="89" t="s">
        <v>35</v>
      </c>
    </row>
    <row r="27" spans="2:14" x14ac:dyDescent="0.35">
      <c r="B27" s="10" t="s">
        <v>5</v>
      </c>
      <c r="C27" s="77">
        <f>SUM(C22:C26)</f>
        <v>0</v>
      </c>
      <c r="D27" s="77">
        <f t="shared" ref="D27:G27" si="2">SUM(D22:D26)</f>
        <v>0</v>
      </c>
      <c r="E27" s="77">
        <f t="shared" si="2"/>
        <v>0</v>
      </c>
      <c r="F27" s="77">
        <f t="shared" si="2"/>
        <v>0</v>
      </c>
      <c r="G27" s="88">
        <f t="shared" si="2"/>
        <v>0</v>
      </c>
      <c r="I27" s="60" t="s">
        <v>5</v>
      </c>
      <c r="J27" s="78">
        <f>SUM(J22:J26)</f>
        <v>0</v>
      </c>
      <c r="K27" s="78">
        <f t="shared" ref="K27:N27" si="3">SUM(K22:K26)</f>
        <v>0</v>
      </c>
      <c r="L27" s="78">
        <f t="shared" si="3"/>
        <v>0</v>
      </c>
      <c r="M27" s="78">
        <f t="shared" si="3"/>
        <v>0</v>
      </c>
      <c r="N27" s="89">
        <f t="shared" si="3"/>
        <v>0</v>
      </c>
    </row>
    <row r="28" spans="2:14" x14ac:dyDescent="0.35">
      <c r="B28" s="11"/>
      <c r="C28" s="12"/>
      <c r="D28" s="12"/>
      <c r="E28" s="12"/>
      <c r="F28" s="12"/>
      <c r="G28" s="13"/>
      <c r="I28" s="61"/>
      <c r="J28" s="62"/>
      <c r="K28" s="62"/>
      <c r="L28" s="62"/>
      <c r="M28" s="62"/>
      <c r="N28" s="63"/>
    </row>
    <row r="29" spans="2:14" x14ac:dyDescent="0.35">
      <c r="B29" s="10" t="s">
        <v>20</v>
      </c>
      <c r="C29" s="123">
        <f>C27+E27+F27+G27-D27</f>
        <v>0</v>
      </c>
      <c r="D29" s="123"/>
      <c r="E29" s="123"/>
      <c r="F29" s="12"/>
      <c r="G29" s="13"/>
      <c r="I29" s="60" t="s">
        <v>20</v>
      </c>
      <c r="J29" s="142">
        <f>J27+L27+M27+N27-K27</f>
        <v>0</v>
      </c>
      <c r="K29" s="142"/>
      <c r="L29" s="142"/>
      <c r="M29" s="62"/>
      <c r="N29" s="63"/>
    </row>
    <row r="30" spans="2:14" ht="15" thickBot="1" x14ac:dyDescent="0.4">
      <c r="B30" s="14"/>
      <c r="C30" s="15"/>
      <c r="D30" s="15"/>
      <c r="E30" s="15"/>
      <c r="F30" s="15"/>
      <c r="G30" s="16"/>
      <c r="I30" s="64"/>
      <c r="J30" s="65"/>
      <c r="K30" s="65"/>
      <c r="L30" s="65"/>
      <c r="M30" s="65"/>
      <c r="N30" s="66"/>
    </row>
    <row r="31" spans="2:14" ht="15" thickBot="1" x14ac:dyDescent="0.4"/>
    <row r="32" spans="2:14" ht="15" thickBot="1" x14ac:dyDescent="0.4">
      <c r="B32" s="99" t="s">
        <v>22</v>
      </c>
      <c r="C32" s="100"/>
      <c r="D32" s="100"/>
      <c r="E32" s="100"/>
      <c r="F32" s="101"/>
      <c r="I32" s="99" t="s">
        <v>23</v>
      </c>
      <c r="J32" s="100"/>
      <c r="K32" s="100"/>
      <c r="L32" s="101"/>
    </row>
    <row r="33" spans="2:13" ht="15" thickBot="1" x14ac:dyDescent="0.4">
      <c r="B33" s="8"/>
      <c r="F33" s="9"/>
      <c r="I33" s="8"/>
      <c r="L33" s="9"/>
    </row>
    <row r="34" spans="2:13" x14ac:dyDescent="0.35">
      <c r="B34" s="143" t="s">
        <v>30</v>
      </c>
      <c r="C34" s="144"/>
      <c r="D34" s="144"/>
      <c r="E34" s="144"/>
      <c r="F34" s="145"/>
      <c r="I34" s="108" t="s">
        <v>30</v>
      </c>
      <c r="J34" s="109"/>
      <c r="K34" s="109"/>
      <c r="L34" s="110"/>
      <c r="M34" s="40"/>
    </row>
    <row r="35" spans="2:13" x14ac:dyDescent="0.35">
      <c r="B35" s="18" t="s">
        <v>24</v>
      </c>
      <c r="C35" s="19" t="s">
        <v>0</v>
      </c>
      <c r="D35" s="19" t="s">
        <v>27</v>
      </c>
      <c r="E35" s="19" t="s">
        <v>28</v>
      </c>
      <c r="F35" s="20" t="s">
        <v>29</v>
      </c>
      <c r="I35" s="50" t="s">
        <v>24</v>
      </c>
      <c r="J35" s="51" t="s">
        <v>0</v>
      </c>
      <c r="K35" s="51" t="s">
        <v>9</v>
      </c>
      <c r="L35" s="73" t="s">
        <v>10</v>
      </c>
    </row>
    <row r="36" spans="2:13" x14ac:dyDescent="0.35">
      <c r="B36" s="21" t="s">
        <v>25</v>
      </c>
      <c r="C36" s="79">
        <f>C15-D15</f>
        <v>0</v>
      </c>
      <c r="D36" s="79">
        <f>SUM(C15-D15) *0.35</f>
        <v>0</v>
      </c>
      <c r="E36" s="79">
        <f>SUM(C15-D15) *0.4</f>
        <v>0</v>
      </c>
      <c r="F36" s="80">
        <f>SUM(C15-D15) *0.25</f>
        <v>0</v>
      </c>
      <c r="I36" s="52" t="s">
        <v>25</v>
      </c>
      <c r="J36" s="86">
        <f>C15-D15</f>
        <v>0</v>
      </c>
      <c r="K36" s="86">
        <f>SUM(C15-D15)*0.5</f>
        <v>0</v>
      </c>
      <c r="L36" s="87">
        <f>SUM(C15-D15)*0.5</f>
        <v>0</v>
      </c>
    </row>
    <row r="37" spans="2:13" x14ac:dyDescent="0.35">
      <c r="B37" s="21" t="s">
        <v>26</v>
      </c>
      <c r="C37" s="79">
        <f>E15</f>
        <v>0</v>
      </c>
      <c r="D37" s="79">
        <f>SUM(E15)*0.35</f>
        <v>0</v>
      </c>
      <c r="E37" s="79">
        <f>SUM(E15)*0.4</f>
        <v>0</v>
      </c>
      <c r="F37" s="80">
        <f>SUM(E15)*0.25</f>
        <v>0</v>
      </c>
      <c r="I37" s="52" t="s">
        <v>26</v>
      </c>
      <c r="J37" s="86">
        <f>E15</f>
        <v>0</v>
      </c>
      <c r="K37" s="86">
        <f>SUM(E15)*0.5</f>
        <v>0</v>
      </c>
      <c r="L37" s="86">
        <f>SUM(F15)*0.5</f>
        <v>0</v>
      </c>
    </row>
    <row r="38" spans="2:13" x14ac:dyDescent="0.35">
      <c r="B38" s="21" t="s">
        <v>14</v>
      </c>
      <c r="C38" s="79">
        <f>SUM(F15,G15)</f>
        <v>0</v>
      </c>
      <c r="D38" s="79">
        <f>SUM(F15,G15)*0.35</f>
        <v>0</v>
      </c>
      <c r="E38" s="79">
        <f>SUM(F15,G15)*0.4</f>
        <v>0</v>
      </c>
      <c r="F38" s="80">
        <f>SUM(F15,G15)*0.25</f>
        <v>0</v>
      </c>
      <c r="I38" s="52" t="s">
        <v>14</v>
      </c>
      <c r="J38" s="86">
        <f>SUM(F15,G15)</f>
        <v>0</v>
      </c>
      <c r="K38" s="86">
        <f>SUM(F15,G15)*0.5</f>
        <v>0</v>
      </c>
      <c r="L38" s="86">
        <f>SUM(G15,H15)*0.5</f>
        <v>0</v>
      </c>
    </row>
    <row r="39" spans="2:13" ht="15" thickBot="1" x14ac:dyDescent="0.4">
      <c r="B39" s="22" t="s">
        <v>5</v>
      </c>
      <c r="C39" s="81">
        <f>SUM(C36:C38)</f>
        <v>0</v>
      </c>
      <c r="D39" s="81">
        <f t="shared" ref="D39:F39" si="4">SUM(D36:D38)</f>
        <v>0</v>
      </c>
      <c r="E39" s="81">
        <f t="shared" si="4"/>
        <v>0</v>
      </c>
      <c r="F39" s="82">
        <f t="shared" si="4"/>
        <v>0</v>
      </c>
      <c r="I39" s="52" t="s">
        <v>5</v>
      </c>
      <c r="J39" s="86">
        <f>SUM(J36:J38)</f>
        <v>0</v>
      </c>
      <c r="K39" s="86">
        <f t="shared" ref="K39:L39" si="5">SUM(K36:K38)</f>
        <v>0</v>
      </c>
      <c r="L39" s="86">
        <f t="shared" si="5"/>
        <v>0</v>
      </c>
    </row>
    <row r="40" spans="2:13" x14ac:dyDescent="0.35">
      <c r="B40" s="23"/>
      <c r="C40" s="24"/>
      <c r="D40" s="24"/>
      <c r="E40" s="24"/>
      <c r="F40" s="25"/>
      <c r="I40" s="53"/>
      <c r="J40" s="54"/>
      <c r="K40" s="54"/>
      <c r="L40" s="55"/>
    </row>
    <row r="41" spans="2:13" ht="15" thickBot="1" x14ac:dyDescent="0.4">
      <c r="B41" s="22" t="s">
        <v>32</v>
      </c>
      <c r="C41" s="105">
        <f>SUM(D39:F39)</f>
        <v>0</v>
      </c>
      <c r="D41" s="105"/>
      <c r="E41" s="105"/>
      <c r="F41" s="26"/>
      <c r="I41" s="56" t="s">
        <v>32</v>
      </c>
      <c r="J41" s="111">
        <f>SUM(K39:L39)</f>
        <v>0</v>
      </c>
      <c r="K41" s="111"/>
      <c r="L41" s="112"/>
    </row>
    <row r="42" spans="2:13" ht="15" thickBot="1" x14ac:dyDescent="0.4">
      <c r="B42" s="27"/>
      <c r="C42" s="28"/>
      <c r="D42" s="28"/>
      <c r="E42" s="28"/>
      <c r="F42" s="26"/>
      <c r="I42" s="57"/>
      <c r="J42" s="58"/>
      <c r="K42" s="58"/>
      <c r="L42" s="59"/>
    </row>
    <row r="43" spans="2:13" ht="15" thickBot="1" x14ac:dyDescent="0.4">
      <c r="B43" s="99"/>
      <c r="C43" s="100"/>
      <c r="D43" s="100"/>
      <c r="E43" s="100"/>
      <c r="F43" s="101"/>
      <c r="I43" s="99"/>
      <c r="J43" s="100"/>
      <c r="K43" s="100"/>
      <c r="L43" s="101"/>
    </row>
    <row r="44" spans="2:13" x14ac:dyDescent="0.35">
      <c r="B44" s="102" t="s">
        <v>31</v>
      </c>
      <c r="C44" s="103"/>
      <c r="D44" s="103"/>
      <c r="E44" s="103"/>
      <c r="F44" s="104"/>
      <c r="I44" s="94" t="s">
        <v>31</v>
      </c>
      <c r="J44" s="95"/>
      <c r="K44" s="95"/>
      <c r="L44" s="96"/>
    </row>
    <row r="45" spans="2:13" x14ac:dyDescent="0.35">
      <c r="B45" s="29" t="s">
        <v>24</v>
      </c>
      <c r="C45" s="30" t="s">
        <v>0</v>
      </c>
      <c r="D45" s="30" t="s">
        <v>27</v>
      </c>
      <c r="E45" s="30" t="s">
        <v>28</v>
      </c>
      <c r="F45" s="31" t="s">
        <v>29</v>
      </c>
      <c r="I45" s="41" t="s">
        <v>24</v>
      </c>
      <c r="J45" s="74" t="s">
        <v>0</v>
      </c>
      <c r="K45" s="74" t="s">
        <v>9</v>
      </c>
      <c r="L45" s="75" t="s">
        <v>10</v>
      </c>
    </row>
    <row r="46" spans="2:13" x14ac:dyDescent="0.35">
      <c r="B46" s="32" t="s">
        <v>25</v>
      </c>
      <c r="C46" s="83">
        <f>SUM(C27-D27)</f>
        <v>0</v>
      </c>
      <c r="D46" s="83">
        <f>SUM(C27-D27)*0.35</f>
        <v>0</v>
      </c>
      <c r="E46" s="83">
        <f>SUM(C27-D27)*0.4</f>
        <v>0</v>
      </c>
      <c r="F46" s="84">
        <f>SUM(C27-D27)*0.25</f>
        <v>0</v>
      </c>
      <c r="I46" s="42" t="s">
        <v>25</v>
      </c>
      <c r="J46" s="90">
        <f>SUM(C27-D27)</f>
        <v>0</v>
      </c>
      <c r="K46" s="90">
        <f>SUM(C27-D27)*0.5</f>
        <v>0</v>
      </c>
      <c r="L46" s="91">
        <f>SUM(D27-E27)*0.5</f>
        <v>0</v>
      </c>
    </row>
    <row r="47" spans="2:13" x14ac:dyDescent="0.35">
      <c r="B47" s="32" t="s">
        <v>26</v>
      </c>
      <c r="C47" s="83">
        <f>SUM(E27)</f>
        <v>0</v>
      </c>
      <c r="D47" s="83">
        <f>SUM(E27)*0.35</f>
        <v>0</v>
      </c>
      <c r="E47" s="83">
        <f>SUM(E27)*0.4</f>
        <v>0</v>
      </c>
      <c r="F47" s="84">
        <f>SUM(E27)*0.25</f>
        <v>0</v>
      </c>
      <c r="I47" s="42" t="s">
        <v>26</v>
      </c>
      <c r="J47" s="90">
        <f>SUM(E27)</f>
        <v>0</v>
      </c>
      <c r="K47" s="90">
        <f>SUM(E27)*0.5</f>
        <v>0</v>
      </c>
      <c r="L47" s="91">
        <f>SUM(F27)*0.5</f>
        <v>0</v>
      </c>
    </row>
    <row r="48" spans="2:13" x14ac:dyDescent="0.35">
      <c r="B48" s="32" t="s">
        <v>14</v>
      </c>
      <c r="C48" s="83">
        <f>SUM(F27+G27)</f>
        <v>0</v>
      </c>
      <c r="D48" s="83">
        <f>SUM(F27+G27)*0.35</f>
        <v>0</v>
      </c>
      <c r="E48" s="83">
        <f>SUM(F27+G27)*0.4</f>
        <v>0</v>
      </c>
      <c r="F48" s="84">
        <f>SUM(F27+G27)*0.25</f>
        <v>0</v>
      </c>
      <c r="I48" s="42" t="s">
        <v>14</v>
      </c>
      <c r="J48" s="90">
        <f>SUM(F27+G27)</f>
        <v>0</v>
      </c>
      <c r="K48" s="90">
        <f>SUM(F27+G27)*0.5</f>
        <v>0</v>
      </c>
      <c r="L48" s="91">
        <f>SUM(G27+H27)*0.5</f>
        <v>0</v>
      </c>
    </row>
    <row r="49" spans="2:12" ht="15" thickBot="1" x14ac:dyDescent="0.4">
      <c r="B49" s="33" t="s">
        <v>5</v>
      </c>
      <c r="C49" s="85">
        <f>SUM(C46:C48)</f>
        <v>0</v>
      </c>
      <c r="D49" s="85">
        <f t="shared" ref="D49:F49" si="6">SUM(D46:D48)</f>
        <v>0</v>
      </c>
      <c r="E49" s="85">
        <f t="shared" si="6"/>
        <v>0</v>
      </c>
      <c r="F49" s="93">
        <f t="shared" si="6"/>
        <v>0</v>
      </c>
      <c r="I49" s="42" t="s">
        <v>5</v>
      </c>
      <c r="J49" s="90">
        <f>SUM(J46:J48)</f>
        <v>0</v>
      </c>
      <c r="K49" s="90">
        <f t="shared" ref="K49:L49" si="7">SUM(K46:K48)</f>
        <v>0</v>
      </c>
      <c r="L49" s="91">
        <f t="shared" si="7"/>
        <v>0</v>
      </c>
    </row>
    <row r="50" spans="2:12" x14ac:dyDescent="0.35">
      <c r="B50" s="34"/>
      <c r="C50" s="35"/>
      <c r="D50" s="35"/>
      <c r="E50" s="35"/>
      <c r="F50" s="36"/>
      <c r="I50" s="43"/>
      <c r="J50" s="44"/>
      <c r="K50" s="44"/>
      <c r="L50" s="45"/>
    </row>
    <row r="51" spans="2:12" ht="15" thickBot="1" x14ac:dyDescent="0.4">
      <c r="B51" s="32" t="s">
        <v>33</v>
      </c>
      <c r="C51" s="106">
        <f>SUM(C49:F49)</f>
        <v>0</v>
      </c>
      <c r="D51" s="106"/>
      <c r="E51" s="106"/>
      <c r="F51" s="36"/>
      <c r="I51" s="46" t="s">
        <v>32</v>
      </c>
      <c r="J51" s="97">
        <f>SUM(K49:L49)</f>
        <v>0</v>
      </c>
      <c r="K51" s="97"/>
      <c r="L51" s="98"/>
    </row>
    <row r="52" spans="2:12" ht="15" thickBot="1" x14ac:dyDescent="0.4">
      <c r="B52" s="37"/>
      <c r="C52" s="38"/>
      <c r="D52" s="38"/>
      <c r="E52" s="38"/>
      <c r="F52" s="39"/>
      <c r="I52" s="47"/>
      <c r="J52" s="48"/>
      <c r="K52" s="48"/>
      <c r="L52" s="49"/>
    </row>
  </sheetData>
  <mergeCells count="32">
    <mergeCell ref="C29:E29"/>
    <mergeCell ref="J29:L29"/>
    <mergeCell ref="B34:F34"/>
    <mergeCell ref="B7:G7"/>
    <mergeCell ref="B20:B21"/>
    <mergeCell ref="C20:E20"/>
    <mergeCell ref="F20:G20"/>
    <mergeCell ref="C17:E17"/>
    <mergeCell ref="F9:G9"/>
    <mergeCell ref="B1:N2"/>
    <mergeCell ref="B32:F32"/>
    <mergeCell ref="B43:F43"/>
    <mergeCell ref="B19:G19"/>
    <mergeCell ref="I34:L34"/>
    <mergeCell ref="J41:L41"/>
    <mergeCell ref="I7:N7"/>
    <mergeCell ref="I9:I10"/>
    <mergeCell ref="J9:L9"/>
    <mergeCell ref="M9:N9"/>
    <mergeCell ref="J17:L17"/>
    <mergeCell ref="I20:I21"/>
    <mergeCell ref="J20:L20"/>
    <mergeCell ref="M20:N20"/>
    <mergeCell ref="B9:B10"/>
    <mergeCell ref="C9:E9"/>
    <mergeCell ref="I44:L44"/>
    <mergeCell ref="J51:L51"/>
    <mergeCell ref="I32:L32"/>
    <mergeCell ref="I43:L43"/>
    <mergeCell ref="B44:F44"/>
    <mergeCell ref="C41:E41"/>
    <mergeCell ref="C51:E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Administrator PC</cp:lastModifiedBy>
  <dcterms:created xsi:type="dcterms:W3CDTF">2026-06-17T08:37:41Z</dcterms:created>
  <dcterms:modified xsi:type="dcterms:W3CDTF">2026-06-17T10:15:02Z</dcterms:modified>
</cp:coreProperties>
</file>